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2711655b7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b340d65e6f84cad"/>
    <x:sheet xmlns:r="http://schemas.openxmlformats.org/officeDocument/2006/relationships" name="Products" sheetId="2" r:id="Rb88100ed84b148c0"/>
    <x:sheet xmlns:r="http://schemas.openxmlformats.org/officeDocument/2006/relationships" name="Order_Fields" sheetId="3" r:id="Rc263dd61ed0d401f"/>
    <x:sheet xmlns:r="http://schemas.openxmlformats.org/officeDocument/2006/relationships" name="Lists" sheetId="4" r:id="R8109798e9b1c46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"/>
    <x:numFmt numFmtId="202" formatCode="yyyy-mm-dd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sz val="11"/>
      <x:color rgb="0F172A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D4ED8"/>
      </x:patternFill>
    </x:fill>
    <x:fill>
      <x:patternFill patternType="solid">
        <x:fgColor rgb="0F766E"/>
      </x:patternFill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747dac9fe4ffe" /><Relationship Type="http://schemas.openxmlformats.org/officeDocument/2006/relationships/theme" Target="/xl/theme/theme1.xml" Id="R01d6d7c8f6f94ad9" /><Relationship Type="http://schemas.openxmlformats.org/officeDocument/2006/relationships/sharedStrings" Target="/xl/sharedStrings.xml" Id="R2456ac93a20e4728" /><Relationship Type="http://schemas.openxmlformats.org/officeDocument/2006/relationships/worksheet" Target="/xl/worksheets/sheet1.xml" Id="R4b340d65e6f84cad" /><Relationship Type="http://schemas.openxmlformats.org/officeDocument/2006/relationships/worksheet" Target="/xl/worksheets/sheet2.xml" Id="Rb88100ed84b148c0" /><Relationship Type="http://schemas.openxmlformats.org/officeDocument/2006/relationships/worksheet" Target="/xl/worksheets/sheet3.xml" Id="Rc263dd61ed0d401f" /><Relationship Type="http://schemas.openxmlformats.org/officeDocument/2006/relationships/worksheet" Target="/xl/worksheets/sheet4.xml" Id="R8109798e9b1c46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20c5db31b949f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Products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Products</c:v>
          </c:tx>
          <c:cat>
            <c:strRef>
              <c:f>'Dashboard'!$A$12:$A$17</c:f>
              <c:strCache>
                <c:ptCount val="0"/>
              </c:strCache>
            </c:strRef>
          </c:cat>
          <c:val>
            <c:numRef>
              <c:f>'Dashboard'!$B$12:$B$17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20c5db31b949f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sTable" displayName="ProductsTable" ref="A1:N25" headerRowCount="1">
  <x:tableColumns count="14">
    <x:tableColumn id="1" name="Product ID"/>
    <x:tableColumn id="2" name="Product Name"/>
    <x:tableColumn id="3" name="Category"/>
    <x:tableColumn id="4" name="Brand"/>
    <x:tableColumn id="5" name="SKU"/>
    <x:tableColumn id="6" name="Price"/>
    <x:tableColumn id="7" name="Stock"/>
    <x:tableColumn id="8" name="Status"/>
    <x:tableColumn id="9" name="Featured"/>
    <x:tableColumn id="10" name="Image URL"/>
    <x:tableColumn id="11" name="Description"/>
    <x:tableColumn id="12" name="Tags"/>
    <x:tableColumn id="13" name="Created At"/>
    <x:tableColumn id="14" name="Updated At"/>
  </x:tableColumns>
  <x:tableStyleInfo name="TableStyleMedium2" showRowStripes="1"/>
</x:table>
</file>

<file path=xl/tables/table2.xml><?xml version="1.0" encoding="utf-8"?>
<x:table xmlns:x="http://schemas.openxmlformats.org/spreadsheetml/2006/main" id="2" name="OrderFieldsTable" displayName="OrderFieldsTable" ref="A1:P2" headerRowCount="1">
  <x:tableColumns count="16">
    <x:tableColumn id="1" name="Order ID"/>
    <x:tableColumn id="2" name="Timestamp"/>
    <x:tableColumn id="3" name="Product ID"/>
    <x:tableColumn id="4" name="Product Name"/>
    <x:tableColumn id="5" name="Category"/>
    <x:tableColumn id="6" name="Unit Price"/>
    <x:tableColumn id="7" name="Quantity"/>
    <x:tableColumn id="8" name="Total Amount"/>
    <x:tableColumn id="9" name="Customer Name"/>
    <x:tableColumn id="10" name="Customer Email"/>
    <x:tableColumn id="11" name="Customer Phone"/>
    <x:tableColumn id="12" name="Company"/>
    <x:tableColumn id="13" name="Address"/>
    <x:tableColumn id="14" name="Notes"/>
    <x:tableColumn id="15" name="Status"/>
    <x:tableColumn id="16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fc770ad95746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1fcf501b2b44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863aa458964da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33" t="str">
        <x:v>NovaProcure Product Data Workbook</x:v>
      </x:c>
      <x:c r="B1"/>
      <x:c r="C1"/>
      <x:c r="D1"/>
      <x:c r="E1"/>
      <x:c r="F1"/>
      <x:c r="G1"/>
      <x:c r="H1"/>
    </x:row>
    <x:row r="2" ht="25" customHeight="1">
      <x:c r="A2" s="38" t="str">
        <x:v>Use this workbook as the source template for the Google Sheets product catalog.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s="20" t="str">
        <x:v>Metric</x:v>
      </x:c>
      <x:c r="B4" s="20" t="str">
        <x:v>Value</x:v>
      </x:c>
      <x:c r="C4"/>
      <x:c r="D4" s="27" t="str">
        <x:v>Setup Checklist</x:v>
      </x:c>
      <x:c r="E4" s="27"/>
      <x:c r="F4" s="27"/>
      <x:c r="G4" s="27"/>
      <x:c r="H4" s="27"/>
    </x:row>
    <x:row r="5">
      <x:c r="A5" t="str">
        <x:v>Total Products</x:v>
      </x:c>
      <x:c r="B5" s="42" t="n">
        <x:f>COUNTA(Products!B2:B25)</x:f>
        <x:v>24</x:v>
      </x:c>
      <x:c r="C5"/>
      <x:c r="D5" t="str">
        <x:v>1. Import Products sheet into your Google Sheet.</x:v>
      </x:c>
      <x:c r="E5"/>
      <x:c r="F5"/>
      <x:c r="G5"/>
      <x:c r="H5"/>
    </x:row>
    <x:row r="6">
      <x:c r="A6" t="str">
        <x:v>Active Products</x:v>
      </x:c>
      <x:c r="B6" s="42" t="n">
        <x:f>COUNTIF(Products!H2:H25,"Active")</x:f>
        <x:v>24</x:v>
      </x:c>
      <x:c r="C6"/>
      <x:c r="D6" t="str">
        <x:v>2. Paste apps-script/Code.gs into Apps Script.</x:v>
      </x:c>
      <x:c r="E6"/>
      <x:c r="F6"/>
      <x:c r="G6"/>
      <x:c r="H6"/>
    </x:row>
    <x:row r="7">
      <x:c r="A7" t="str">
        <x:v>Featured Products</x:v>
      </x:c>
      <x:c r="B7" s="42" t="n">
        <x:f>COUNTIF(Products!I2:I25,"Yes")</x:f>
        <x:v>9</x:v>
      </x:c>
      <x:c r="C7"/>
      <x:c r="D7" t="str">
        <x:v>3. Run setup() once and deploy as Web App.</x:v>
      </x:c>
      <x:c r="E7"/>
      <x:c r="F7"/>
      <x:c r="G7"/>
      <x:c r="H7"/>
    </x:row>
    <x:row r="8">
      <x:c r="A8" t="str">
        <x:v>Low Stock Items</x:v>
      </x:c>
      <x:c r="B8" s="42" t="n">
        <x:f>COUNTIFS(Products!G2:G25,"&lt;=10",Products!H2:H25,"Active")</x:f>
        <x:v>3</x:v>
      </x:c>
      <x:c r="C8"/>
      <x:c r="D8" t="str">
        <x:v>4. Replace GOOGLE_SCRIPT_URL in app.js after deployment.</x:v>
      </x:c>
      <x:c r="E8"/>
      <x:c r="F8"/>
      <x:c r="G8"/>
      <x:c r="H8"/>
    </x:row>
    <x:row r="9">
      <x:c r="A9" t="str">
        <x:v>Inventory Value</x:v>
      </x:c>
      <x:c r="B9" s="42" t="n">
        <x:f>SUMPRODUCT(Products!F2:F25,Products!G2:G25)</x:f>
        <x:v>238744.3</x:v>
      </x:c>
      <x:c r="C9"/>
      <x:c r="D9" t="str">
        <x:v>5. Test an order and confirm daily order sheet is created.</x:v>
      </x:c>
      <x:c r="E9"/>
      <x:c r="F9"/>
      <x:c r="G9"/>
      <x:c r="H9"/>
    </x:row>
    <x:row r="10">
      <x:c r="A10"/>
      <x:c r="B10"/>
      <x:c r="C10"/>
      <x:c r="D10"/>
      <x:c r="E10"/>
      <x:c r="F10"/>
      <x:c r="G10"/>
      <x:c r="H10"/>
    </x:row>
    <x:row r="11">
      <x:c r="A11" s="4" t="str">
        <x:v>Category</x:v>
      </x:c>
      <x:c r="B11" s="4" t="str">
        <x:v>Products</x:v>
      </x:c>
      <x:c r="C11" s="4" t="str">
        <x:v>Average Price</x:v>
      </x:c>
      <x:c r="D11" s="4" t="str">
        <x:v>Inventory Value</x:v>
      </x:c>
      <x:c r="E11"/>
      <x:c r="F11"/>
      <x:c r="G11"/>
      <x:c r="H11"/>
    </x:row>
    <x:row r="12">
      <x:c r="A12" t="str">
        <x:v>Accessories</x:v>
      </x:c>
      <x:c r="B12" t="n">
        <x:f>COUNTIF(Products!C2:C25,A12)</x:f>
        <x:v>5</x:v>
      </x:c>
      <x:c r="C12" s="44" t="n">
        <x:f>IFERROR(SUMIF(Products!C2:C25,A12,Products!F2:F25)/B12,0)</x:f>
        <x:v>91.19800000000001</x:v>
      </x:c>
      <x:c r="D12" s="44" t="n">
        <x:f>SUMIFS(Products!F2:F25,Products!C2:C25,A12)</x:f>
        <x:v>455.99</x:v>
      </x:c>
      <x:c r="E12"/>
      <x:c r="F12"/>
      <x:c r="G12"/>
      <x:c r="H12"/>
    </x:row>
    <x:row r="13">
      <x:c r="A13" t="str">
        <x:v>Electronics</x:v>
      </x:c>
      <x:c r="B13" t="n">
        <x:f>COUNTIF(Products!C2:C25,A13)</x:f>
        <x:v>5</x:v>
      </x:c>
      <x:c r="C13" s="44" t="n">
        <x:f>IFERROR(SUMIF(Products!C2:C25,A13,Products!F2:F25)/B13,0)</x:f>
        <x:v>938.8</x:v>
      </x:c>
      <x:c r="D13" s="44" t="n">
        <x:f>SUMIFS(Products!F2:F25,Products!C2:C25,A13)</x:f>
        <x:v>4694</x:v>
      </x:c>
      <x:c r="E13"/>
      <x:c r="F13"/>
      <x:c r="G13"/>
      <x:c r="H13"/>
    </x:row>
    <x:row r="14">
      <x:c r="A14" t="str">
        <x:v>Furniture</x:v>
      </x:c>
      <x:c r="B14" t="n">
        <x:f>COUNTIF(Products!C2:C25,A14)</x:f>
        <x:v>3</x:v>
      </x:c>
      <x:c r="C14" s="44" t="n">
        <x:f>IFERROR(SUMIF(Products!C2:C25,A14,Products!F2:F25)/B14,0)</x:f>
        <x:v>949.5</x:v>
      </x:c>
      <x:c r="D14" s="44" t="n">
        <x:f>SUMIFS(Products!F2:F25,Products!C2:C25,A14)</x:f>
        <x:v>2848.5</x:v>
      </x:c>
      <x:c r="E14"/>
      <x:c r="F14"/>
      <x:c r="G14"/>
      <x:c r="H14"/>
    </x:row>
    <x:row r="15">
      <x:c r="A15" t="str">
        <x:v>Networking</x:v>
      </x:c>
      <x:c r="B15" t="n">
        <x:f>COUNTIF(Products!C2:C25,A15)</x:f>
        <x:v>3</x:v>
      </x:c>
      <x:c r="C15" s="44" t="n">
        <x:f>IFERROR(SUMIF(Products!C2:C25,A15,Products!F2:F25)/B15,0)</x:f>
        <x:v>325.6666666666667</x:v>
      </x:c>
      <x:c r="D15" s="44" t="n">
        <x:f>SUMIFS(Products!F2:F25,Products!C2:C25,A15)</x:f>
        <x:v>977</x:v>
      </x:c>
      <x:c r="E15"/>
      <x:c r="F15"/>
      <x:c r="G15"/>
      <x:c r="H15"/>
    </x:row>
    <x:row r="16">
      <x:c r="A16" t="str">
        <x:v>Stationery</x:v>
      </x:c>
      <x:c r="B16" t="n">
        <x:f>COUNTIF(Products!C2:C25,A16)</x:f>
        <x:v>4</x:v>
      </x:c>
      <x:c r="C16" s="44" t="n">
        <x:f>IFERROR(SUMIF(Products!C2:C25,A16,Products!F2:F25)/B16,0)</x:f>
        <x:v>95.85</x:v>
      </x:c>
      <x:c r="D16" s="44" t="n">
        <x:f>SUMIFS(Products!F2:F25,Products!C2:C25,A16)</x:f>
        <x:v>383.4</x:v>
      </x:c>
      <x:c r="E16"/>
      <x:c r="F16"/>
      <x:c r="G16"/>
      <x:c r="H16"/>
    </x:row>
    <x:row r="17">
      <x:c r="A17" t="str">
        <x:v>Workspace</x:v>
      </x:c>
      <x:c r="B17" t="n">
        <x:f>COUNTIF(Products!C2:C25,A17)</x:f>
        <x:v>4</x:v>
      </x:c>
      <x:c r="C17" s="44" t="n">
        <x:f>IFERROR(SUMIF(Products!C2:C25,A17,Products!F2:F25)/B17,0)</x:f>
        <x:v>234</x:v>
      </x:c>
      <x:c r="D17" s="44" t="n">
        <x:f>SUMIFS(Products!F2:F25,Products!C2:C25,A17)</x:f>
        <x:v>936</x:v>
      </x:c>
      <x:c r="E17"/>
      <x:c r="F17"/>
      <x:c r="G17"/>
      <x:c r="H17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4efc770ad957467f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40" hidden="0" customWidth="1"/>
    <x:col min="11" max="11" width="44" hidden="0" customWidth="1"/>
    <x:col min="12" max="12" width="28" hidden="0" customWidth="1"/>
  </x:cols>
  <x:sheetData>
    <x:row r="1" ht="28" customHeight="1">
      <x:c r="A1" s="5" t="str">
        <x:v>Product ID</x:v>
      </x:c>
      <x:c r="B1" s="5" t="str">
        <x:v>Product Name</x:v>
      </x:c>
      <x:c r="C1" s="5" t="str">
        <x:v>Category</x:v>
      </x:c>
      <x:c r="D1" s="5" t="str">
        <x:v>Brand</x:v>
      </x:c>
      <x:c r="E1" s="5" t="str">
        <x:v>SKU</x:v>
      </x:c>
      <x:c r="F1" s="5" t="str">
        <x:v>Price</x:v>
      </x:c>
      <x:c r="G1" s="5" t="str">
        <x:v>Stock</x:v>
      </x:c>
      <x:c r="H1" s="5" t="str">
        <x:v>Status</x:v>
      </x:c>
      <x:c r="I1" s="5" t="str">
        <x:v>Featured</x:v>
      </x:c>
      <x:c r="J1" s="5" t="str">
        <x:v>Image URL</x:v>
      </x:c>
      <x:c r="K1" s="5" t="str">
        <x:v>Description</x:v>
      </x:c>
      <x:c r="L1" s="5" t="str">
        <x:v>Tags</x:v>
      </x:c>
      <x:c r="M1" s="5" t="str">
        <x:v>Created At</x:v>
      </x:c>
      <x:c r="N1" s="5" t="str">
        <x:v>Updated At</x:v>
      </x:c>
    </x:row>
    <x:row r="2">
      <x:c r="A2" s="10" t="str">
        <x:v>PRD-0001</x:v>
      </x:c>
      <x:c r="B2" s="10" t="str">
        <x:v>Aeron Executive Ergonomic Chair</x:v>
      </x:c>
      <x:c r="C2" s="10" t="str">
        <x:v>Furniture</x:v>
      </x:c>
      <x:c r="D2" s="10" t="str">
        <x:v>Herman Miller</x:v>
      </x:c>
      <x:c r="E2" s="10" t="str">
        <x:v>HM-AER-EXE</x:v>
      </x:c>
      <x:c r="F2" s="12" t="n">
        <x:v>1250</x:v>
      </x:c>
      <x:c r="G2" s="14" t="n">
        <x:v>15</x:v>
      </x:c>
      <x:c r="H2" s="10" t="str">
        <x:v>Active</x:v>
      </x:c>
      <x:c r="I2" s="10" t="str">
        <x:v>Yes</x:v>
      </x:c>
      <x:c r="J2" s="10" t="str">
        <x:v>https://images.unsplash.com/photo-1580480055273-228ff5388ef8?auto=format&amp;fit=crop&amp;w=900&amp;q=80</x:v>
      </x:c>
      <x:c r="K2" s="10" t="str">
        <x:v>Premium ergonomic task chair with breathable mesh, posture support, and executive finish.</x:v>
      </x:c>
      <x:c r="L2" s="10" t="str">
        <x:v>chair,ergonomic,office,premium</x:v>
      </x:c>
      <x:c r="M2" s="16" t="str">
        <x:v>2026-05-01</x:v>
      </x:c>
      <x:c r="N2" s="16" t="str">
        <x:v>2026-05-24</x:v>
      </x:c>
    </x:row>
    <x:row r="3">
      <x:c r="A3" s="10" t="str">
        <x:v>PRD-0002</x:v>
      </x:c>
      <x:c r="B3" s="10" t="str">
        <x:v>Velocity 16 Pro Laptop</x:v>
      </x:c>
      <x:c r="C3" s="10" t="str">
        <x:v>Electronics</x:v>
      </x:c>
      <x:c r="D3" s="10" t="str">
        <x:v>Apex Systems</x:v>
      </x:c>
      <x:c r="E3" s="10" t="str">
        <x:v>APX-V16-32</x:v>
      </x:c>
      <x:c r="F3" s="12" t="n">
        <x:v>2499</x:v>
      </x:c>
      <x:c r="G3" s="14" t="n">
        <x:v>28</x:v>
      </x:c>
      <x:c r="H3" s="10" t="str">
        <x:v>Active</x:v>
      </x:c>
      <x:c r="I3" s="10" t="str">
        <x:v>Yes</x:v>
      </x:c>
      <x:c r="J3" s="10" t="str">
        <x:v>https://images.unsplash.com/photo-1517336714731-489689fd1ca8?auto=format&amp;fit=crop&amp;w=900&amp;q=80</x:v>
      </x:c>
      <x:c r="K3" s="10" t="str">
        <x:v>High-performance workstation laptop for design, development, analytics, and enterprise workloads.</x:v>
      </x:c>
      <x:c r="L3" s="10" t="str">
        <x:v>laptop,workstation,computer,pro</x:v>
      </x:c>
      <x:c r="M3" s="16" t="str">
        <x:v>2026-05-02</x:v>
      </x:c>
      <x:c r="N3" s="16" t="str">
        <x:v>2026-05-23</x:v>
      </x:c>
    </x:row>
    <x:row r="4">
      <x:c r="A4" s="10" t="str">
        <x:v>PRD-0003</x:v>
      </x:c>
      <x:c r="B4" s="10" t="str">
        <x:v>MX Master 3S Wireless Mouse</x:v>
      </x:c>
      <x:c r="C4" s="10" t="str">
        <x:v>Accessories</x:v>
      </x:c>
      <x:c r="D4" s="10" t="str">
        <x:v>Logitech</x:v>
      </x:c>
      <x:c r="E4" s="10" t="str">
        <x:v>LOG-MX3S-BLK</x:v>
      </x:c>
      <x:c r="F4" s="12" t="n">
        <x:v>99.99</x:v>
      </x:c>
      <x:c r="G4" s="14" t="n">
        <x:v>120</x:v>
      </x:c>
      <x:c r="H4" s="10" t="str">
        <x:v>Active</x:v>
      </x:c>
      <x:c r="I4" s="10" t="str">
        <x:v>No</x:v>
      </x:c>
      <x:c r="J4" s="10" t="str">
        <x:v>https://images.unsplash.com/photo-1527864550417-7fd91fc51a46?auto=format&amp;fit=crop&amp;w=900&amp;q=80</x:v>
      </x:c>
      <x:c r="K4" s="10" t="str">
        <x:v>Silent click productivity mouse with ergonomic grip and multi-device controls.</x:v>
      </x:c>
      <x:c r="L4" s="10" t="str">
        <x:v>mouse,wireless,accessory</x:v>
      </x:c>
      <x:c r="M4" s="16" t="str">
        <x:v>2026-05-03</x:v>
      </x:c>
      <x:c r="N4" s="16" t="str">
        <x:v>2026-05-22</x:v>
      </x:c>
    </x:row>
    <x:row r="5">
      <x:c r="A5" s="10" t="str">
        <x:v>PRD-0004</x:v>
      </x:c>
      <x:c r="B5" s="10" t="str">
        <x:v>NoiseFocus ANC Headset</x:v>
      </x:c>
      <x:c r="C5" s="10" t="str">
        <x:v>Electronics</x:v>
      </x:c>
      <x:c r="D5" s="10" t="str">
        <x:v>Sony</x:v>
      </x:c>
      <x:c r="E5" s="10" t="str">
        <x:v>SONY-NF-ANC</x:v>
      </x:c>
      <x:c r="F5" s="12" t="n">
        <x:v>398</x:v>
      </x:c>
      <x:c r="G5" s="14" t="n">
        <x:v>8</x:v>
      </x:c>
      <x:c r="H5" s="10" t="str">
        <x:v>Active</x:v>
      </x:c>
      <x:c r="I5" s="10" t="str">
        <x:v>Yes</x:v>
      </x:c>
      <x:c r="J5" s="10" t="str">
        <x:v>https://images.unsplash.com/photo-1618366712010-f4ae9c647dcb?auto=format&amp;fit=crop&amp;w=900&amp;q=80</x:v>
      </x:c>
      <x:c r="K5" s="10" t="str">
        <x:v>Enterprise-grade active noise cancelling headset for focused calls and travel.</x:v>
      </x:c>
      <x:c r="L5" s="10" t="str">
        <x:v>headset,audio,noise cancelling</x:v>
      </x:c>
      <x:c r="M5" s="16" t="str">
        <x:v>2026-05-04</x:v>
      </x:c>
      <x:c r="N5" s="16" t="str">
        <x:v>2026-05-21</x:v>
      </x:c>
    </x:row>
    <x:row r="6">
      <x:c r="A6" s="10" t="str">
        <x:v>PRD-0005</x:v>
      </x:c>
      <x:c r="B6" s="10" t="str">
        <x:v>RisePro Standing Desk Converter</x:v>
      </x:c>
      <x:c r="C6" s="10" t="str">
        <x:v>Furniture</x:v>
      </x:c>
      <x:c r="D6" s="10" t="str">
        <x:v>FlexiDesk</x:v>
      </x:c>
      <x:c r="E6" s="10" t="str">
        <x:v>FD-RISE-PRO</x:v>
      </x:c>
      <x:c r="F6" s="12" t="n">
        <x:v>199.5</x:v>
      </x:c>
      <x:c r="G6" s="14" t="n">
        <x:v>35</x:v>
      </x:c>
      <x:c r="H6" s="10" t="str">
        <x:v>Active</x:v>
      </x:c>
      <x:c r="I6" s="10" t="str">
        <x:v>No</x:v>
      </x:c>
      <x:c r="J6" s="10" t="str">
        <x:v>https://images.unsplash.com/photo-1595514535313-09756b107cb5?auto=format&amp;fit=crop&amp;w=900&amp;q=80</x:v>
      </x:c>
      <x:c r="K6" s="10" t="str">
        <x:v>Adjustable sit-stand desk riser with smooth pneumatic lift and cable slots.</x:v>
      </x:c>
      <x:c r="L6" s="10" t="str">
        <x:v>desk,standing,furniture</x:v>
      </x:c>
      <x:c r="M6" s="16" t="str">
        <x:v>2026-05-05</x:v>
      </x:c>
      <x:c r="N6" s="16" t="str">
        <x:v>2026-05-20</x:v>
      </x:c>
    </x:row>
    <x:row r="7">
      <x:c r="A7" s="10" t="str">
        <x:v>PRD-0006</x:v>
      </x:c>
      <x:c r="B7" s="10" t="str">
        <x:v>Smart Meeting Notebook Pack</x:v>
      </x:c>
      <x:c r="C7" s="10" t="str">
        <x:v>Stationery</x:v>
      </x:c>
      <x:c r="D7" s="10" t="str">
        <x:v>Moleskine</x:v>
      </x:c>
      <x:c r="E7" s="10" t="str">
        <x:v>MOL-SMART-3</x:v>
      </x:c>
      <x:c r="F7" s="12" t="n">
        <x:v>34.9</x:v>
      </x:c>
      <x:c r="G7" s="14" t="n">
        <x:v>200</x:v>
      </x:c>
      <x:c r="H7" s="10" t="str">
        <x:v>Active</x:v>
      </x:c>
      <x:c r="I7" s="10" t="str">
        <x:v>No</x:v>
      </x:c>
      <x:c r="J7" s="10" t="str">
        <x:v>https://images.unsplash.com/photo-1531346878377-244bb1c855a8?auto=format&amp;fit=crop&amp;w=900&amp;q=80</x:v>
      </x:c>
      <x:c r="K7" s="10" t="str">
        <x:v>Premium notebooks for meeting notes, action items, sketches, and planning.</x:v>
      </x:c>
      <x:c r="L7" s="10" t="str">
        <x:v>notebook,stationery,meeting</x:v>
      </x:c>
      <x:c r="M7" s="16" t="str">
        <x:v>2026-05-06</x:v>
      </x:c>
      <x:c r="N7" s="16" t="str">
        <x:v>2026-05-19</x:v>
      </x:c>
    </x:row>
    <x:row r="8">
      <x:c r="A8" s="10" t="str">
        <x:v>PRD-0007</x:v>
      </x:c>
      <x:c r="B8" s="10" t="str">
        <x:v>UltraSharp 32 4K Monitor</x:v>
      </x:c>
      <x:c r="C8" s="10" t="str">
        <x:v>Electronics</x:v>
      </x:c>
      <x:c r="D8" s="10" t="str">
        <x:v>Dell</x:v>
      </x:c>
      <x:c r="E8" s="10" t="str">
        <x:v>DEL-U32-4K</x:v>
      </x:c>
      <x:c r="F8" s="12" t="n">
        <x:v>749</x:v>
      </x:c>
      <x:c r="G8" s="14" t="n">
        <x:v>18</x:v>
      </x:c>
      <x:c r="H8" s="10" t="str">
        <x:v>Active</x:v>
      </x:c>
      <x:c r="I8" s="10" t="str">
        <x:v>Yes</x:v>
      </x:c>
      <x:c r="J8" s="10" t="str">
        <x:v>https://images.unsplash.com/photo-1527443224154-c4a3942d3acf?auto=format&amp;fit=crop&amp;w=900&amp;q=80</x:v>
      </x:c>
      <x:c r="K8" s="10" t="str">
        <x:v>Color-accurate 32-inch 4K monitor for executive desks and creative teams.</x:v>
      </x:c>
      <x:c r="L8" s="10" t="str">
        <x:v>monitor,display,4k</x:v>
      </x:c>
      <x:c r="M8" s="16" t="str">
        <x:v>2026-05-07</x:v>
      </x:c>
      <x:c r="N8" s="16" t="str">
        <x:v>2026-05-18</x:v>
      </x:c>
    </x:row>
    <x:row r="9">
      <x:c r="A9" s="10" t="str">
        <x:v>PRD-0008</x:v>
      </x:c>
      <x:c r="B9" s="10" t="str">
        <x:v>Executive Desk Organizer Set</x:v>
      </x:c>
      <x:c r="C9" s="10" t="str">
        <x:v>Stationery</x:v>
      </x:c>
      <x:c r="D9" s="10" t="str">
        <x:v>Nexus Office</x:v>
      </x:c>
      <x:c r="E9" s="10" t="str">
        <x:v>NX-DESK-ORG</x:v>
      </x:c>
      <x:c r="F9" s="12" t="n">
        <x:v>47.5</x:v>
      </x:c>
      <x:c r="G9" s="14" t="n">
        <x:v>88</x:v>
      </x:c>
      <x:c r="H9" s="10" t="str">
        <x:v>Active</x:v>
      </x:c>
      <x:c r="I9" s="10" t="str">
        <x:v>No</x:v>
      </x:c>
      <x:c r="J9" s="10" t="str">
        <x:v>https://images.unsplash.com/photo-1516321318423-f06f85e504b3?auto=format&amp;fit=crop&amp;w=900&amp;q=80</x:v>
      </x:c>
      <x:c r="K9" s="10" t="str">
        <x:v>Minimal metal-and-wood organizer set for clean executive workstations.</x:v>
      </x:c>
      <x:c r="L9" s="10" t="str">
        <x:v>organizer,desk,stationery</x:v>
      </x:c>
      <x:c r="M9" s="16" t="str">
        <x:v>2026-05-08</x:v>
      </x:c>
      <x:c r="N9" s="16" t="str">
        <x:v>2026-05-17</x:v>
      </x:c>
    </x:row>
    <x:row r="10">
      <x:c r="A10" s="10" t="str">
        <x:v>PRD-0009</x:v>
      </x:c>
      <x:c r="B10" s="10" t="str">
        <x:v>Conference Room Camera 4K</x:v>
      </x:c>
      <x:c r="C10" s="10" t="str">
        <x:v>Electronics</x:v>
      </x:c>
      <x:c r="D10" s="10" t="str">
        <x:v>Logitech</x:v>
      </x:c>
      <x:c r="E10" s="10" t="str">
        <x:v>LOG-MEET-4K</x:v>
      </x:c>
      <x:c r="F10" s="12" t="n">
        <x:v>899</x:v>
      </x:c>
      <x:c r="G10" s="14" t="n">
        <x:v>12</x:v>
      </x:c>
      <x:c r="H10" s="10" t="str">
        <x:v>Active</x:v>
      </x:c>
      <x:c r="I10" s="10" t="str">
        <x:v>Yes</x:v>
      </x:c>
      <x:c r="J10" s="10" t="str">
        <x:v>https://images.unsplash.com/photo-1609921212029-bb5a28e60960?auto=format&amp;fit=crop&amp;w=900&amp;q=80</x:v>
      </x:c>
      <x:c r="K10" s="10" t="str">
        <x:v>Smart 4K conference camera with auto-framing and integrated room audio.</x:v>
      </x:c>
      <x:c r="L10" s="10" t="str">
        <x:v>camera,conference,meeting,4k</x:v>
      </x:c>
      <x:c r="M10" s="16" t="str">
        <x:v>2026-05-09</x:v>
      </x:c>
      <x:c r="N10" s="16" t="str">
        <x:v>2026-05-16</x:v>
      </x:c>
    </x:row>
    <x:row r="11">
      <x:c r="A11" s="10" t="str">
        <x:v>PRD-0010</x:v>
      </x:c>
      <x:c r="B11" s="10" t="str">
        <x:v>Modular Collaboration Sofa</x:v>
      </x:c>
      <x:c r="C11" s="10" t="str">
        <x:v>Furniture</x:v>
      </x:c>
      <x:c r="D11" s="10" t="str">
        <x:v>WorkLounge</x:v>
      </x:c>
      <x:c r="E11" s="10" t="str">
        <x:v>WL-SOFA-MOD</x:v>
      </x:c>
      <x:c r="F11" s="12" t="n">
        <x:v>1399</x:v>
      </x:c>
      <x:c r="G11" s="14" t="n">
        <x:v>6</x:v>
      </x:c>
      <x:c r="H11" s="10" t="str">
        <x:v>Active</x:v>
      </x:c>
      <x:c r="I11" s="10" t="str">
        <x:v>No</x:v>
      </x:c>
      <x:c r="J11" s="10" t="str">
        <x:v>https://images.unsplash.com/photo-1555041469-a586c61ea9bc?auto=format&amp;fit=crop&amp;w=900&amp;q=80</x:v>
      </x:c>
      <x:c r="K11" s="10" t="str">
        <x:v>Modular seating for breakout areas, visitor lounges, and collaborative spaces.</x:v>
      </x:c>
      <x:c r="L11" s="10" t="str">
        <x:v>sofa,lounge,furniture</x:v>
      </x:c>
      <x:c r="M11" s="16" t="str">
        <x:v>2026-05-10</x:v>
      </x:c>
      <x:c r="N11" s="16" t="str">
        <x:v>2026-05-15</x:v>
      </x:c>
    </x:row>
    <x:row r="12">
      <x:c r="A12" s="10" t="str">
        <x:v>PRD-0011</x:v>
      </x:c>
      <x:c r="B12" s="10" t="str">
        <x:v>Secure USB-C Docking Station</x:v>
      </x:c>
      <x:c r="C12" s="10" t="str">
        <x:v>Networking</x:v>
      </x:c>
      <x:c r="D12" s="10" t="str">
        <x:v>Anker</x:v>
      </x:c>
      <x:c r="E12" s="10" t="str">
        <x:v>ANK-DOCK-11</x:v>
      </x:c>
      <x:c r="F12" s="12" t="n">
        <x:v>219</x:v>
      </x:c>
      <x:c r="G12" s="14" t="n">
        <x:v>55</x:v>
      </x:c>
      <x:c r="H12" s="10" t="str">
        <x:v>Active</x:v>
      </x:c>
      <x:c r="I12" s="10" t="str">
        <x:v>No</x:v>
      </x:c>
      <x:c r="J12" s="10" t="str">
        <x:v>https://images.unsplash.com/photo-1625842268584-8f3296236761?auto=format&amp;fit=crop&amp;w=900&amp;q=80</x:v>
      </x:c>
      <x:c r="K12" s="10" t="str">
        <x:v>Multi-port USB-C dock with dual display support and enterprise charging.</x:v>
      </x:c>
      <x:c r="L12" s="10" t="str">
        <x:v>dock,usb-c,networking,accessory</x:v>
      </x:c>
      <x:c r="M12" s="16" t="str">
        <x:v>2026-05-11</x:v>
      </x:c>
      <x:c r="N12" s="16" t="str">
        <x:v>2026-05-14</x:v>
      </x:c>
    </x:row>
    <x:row r="13">
      <x:c r="A13" s="10" t="str">
        <x:v>PRD-0012</x:v>
      </x:c>
      <x:c r="B13" s="10" t="str">
        <x:v>Enterprise Wi-Fi 7 Access Point</x:v>
      </x:c>
      <x:c r="C13" s="10" t="str">
        <x:v>Networking</x:v>
      </x:c>
      <x:c r="D13" s="10" t="str">
        <x:v>Ubiquiti</x:v>
      </x:c>
      <x:c r="E13" s="10" t="str">
        <x:v>UBQ-WIFI7-AP</x:v>
      </x:c>
      <x:c r="F13" s="12" t="n">
        <x:v>329</x:v>
      </x:c>
      <x:c r="G13" s="14" t="n">
        <x:v>24</x:v>
      </x:c>
      <x:c r="H13" s="10" t="str">
        <x:v>Active</x:v>
      </x:c>
      <x:c r="I13" s="10" t="str">
        <x:v>Yes</x:v>
      </x:c>
      <x:c r="J13" s="10" t="str">
        <x:v>https://images.unsplash.com/photo-1606765962248-7ff407b51667?auto=format&amp;fit=crop&amp;w=900&amp;q=80</x:v>
      </x:c>
      <x:c r="K13" s="10" t="str">
        <x:v>High-density access point for offices, meeting zones, and campus networks.</x:v>
      </x:c>
      <x:c r="L13" s="10" t="str">
        <x:v>wifi,networking,access point</x:v>
      </x:c>
      <x:c r="M13" s="16" t="str">
        <x:v>2026-05-12</x:v>
      </x:c>
      <x:c r="N13" s="16" t="str">
        <x:v>2026-05-13</x:v>
      </x:c>
    </x:row>
    <x:row r="14">
      <x:c r="A14" s="10" t="str">
        <x:v>PRD-0013</x:v>
      </x:c>
      <x:c r="B14" s="10" t="str">
        <x:v>Privacy Screen 14-inch</x:v>
      </x:c>
      <x:c r="C14" s="10" t="str">
        <x:v>Accessories</x:v>
      </x:c>
      <x:c r="D14" s="10" t="str">
        <x:v>3M</x:v>
      </x:c>
      <x:c r="E14" s="10" t="str">
        <x:v>3M-PRIV-14</x:v>
      </x:c>
      <x:c r="F14" s="12" t="n">
        <x:v>39</x:v>
      </x:c>
      <x:c r="G14" s="14" t="n">
        <x:v>96</x:v>
      </x:c>
      <x:c r="H14" s="10" t="str">
        <x:v>Active</x:v>
      </x:c>
      <x:c r="I14" s="10" t="str">
        <x:v>No</x:v>
      </x:c>
      <x:c r="J14" s="10" t="str">
        <x:v>https://images.unsplash.com/photo-1498050108023-c5249f4df085?auto=format&amp;fit=crop&amp;w=900&amp;q=80</x:v>
      </x:c>
      <x:c r="K14" s="10" t="str">
        <x:v>Laptop privacy filter for travel, shared desks, and confidential work.</x:v>
      </x:c>
      <x:c r="L14" s="10" t="str">
        <x:v>privacy,screen,laptop,accessory</x:v>
      </x:c>
      <x:c r="M14" s="16" t="str">
        <x:v>2026-05-13</x:v>
      </x:c>
      <x:c r="N14" s="16" t="str">
        <x:v>2026-05-12</x:v>
      </x:c>
    </x:row>
    <x:row r="15">
      <x:c r="A15" s="10" t="str">
        <x:v>PRD-0014</x:v>
      </x:c>
      <x:c r="B15" s="10" t="str">
        <x:v>AI Presentation Clicker</x:v>
      </x:c>
      <x:c r="C15" s="10" t="str">
        <x:v>Accessories</x:v>
      </x:c>
      <x:c r="D15" s="10" t="str">
        <x:v>Kensington</x:v>
      </x:c>
      <x:c r="E15" s="10" t="str">
        <x:v>KEN-AI-CLICK</x:v>
      </x:c>
      <x:c r="F15" s="12" t="n">
        <x:v>69</x:v>
      </x:c>
      <x:c r="G15" s="14" t="n">
        <x:v>44</x:v>
      </x:c>
      <x:c r="H15" s="10" t="str">
        <x:v>Active</x:v>
      </x:c>
      <x:c r="I15" s="10" t="str">
        <x:v>No</x:v>
      </x:c>
      <x:c r="J15" s="10" t="str">
        <x:v>https://images.unsplash.com/photo-1523726491678-bf852e717f6a?auto=format&amp;fit=crop&amp;w=900&amp;q=80</x:v>
      </x:c>
      <x:c r="K15" s="10" t="str">
        <x:v>Wireless presenter with laser pointer, timer alerts, and USB-C receiver.</x:v>
      </x:c>
      <x:c r="L15" s="10" t="str">
        <x:v>presenter,clicker,meeting</x:v>
      </x:c>
      <x:c r="M15" s="16" t="str">
        <x:v>2026-05-14</x:v>
      </x:c>
      <x:c r="N15" s="16" t="str">
        <x:v>2026-05-11</x:v>
      </x:c>
    </x:row>
    <x:row r="16">
      <x:c r="A16" s="10" t="str">
        <x:v>PRD-0015</x:v>
      </x:c>
      <x:c r="B16" s="10" t="str">
        <x:v>Acoustic Focus Panel Kit</x:v>
      </x:c>
      <x:c r="C16" s="10" t="str">
        <x:v>Workspace</x:v>
      </x:c>
      <x:c r="D16" s="10" t="str">
        <x:v>SoundFrame</x:v>
      </x:c>
      <x:c r="E16" s="10" t="str">
        <x:v>SF-PANEL-12</x:v>
      </x:c>
      <x:c r="F16" s="12" t="n">
        <x:v>289</x:v>
      </x:c>
      <x:c r="G16" s="14" t="n">
        <x:v>22</x:v>
      </x:c>
      <x:c r="H16" s="10" t="str">
        <x:v>Active</x:v>
      </x:c>
      <x:c r="I16" s="10" t="str">
        <x:v>Yes</x:v>
      </x:c>
      <x:c r="J16" s="10" t="str">
        <x:v>https://images.unsplash.com/photo-1497366754035-f200968a6e72?auto=format&amp;fit=crop&amp;w=900&amp;q=80</x:v>
      </x:c>
      <x:c r="K16" s="10" t="str">
        <x:v>Premium acoustic wall panel kit for meeting rooms and open offices.</x:v>
      </x:c>
      <x:c r="L16" s="10" t="str">
        <x:v>acoustic,workspace,panel</x:v>
      </x:c>
      <x:c r="M16" s="16" t="str">
        <x:v>2026-05-15</x:v>
      </x:c>
      <x:c r="N16" s="16" t="str">
        <x:v>2026-05-10</x:v>
      </x:c>
    </x:row>
    <x:row r="17">
      <x:c r="A17" s="10" t="str">
        <x:v>PRD-0016</x:v>
      </x:c>
      <x:c r="B17" s="10" t="str">
        <x:v>Air Quality Desk Sensor</x:v>
      </x:c>
      <x:c r="C17" s="10" t="str">
        <x:v>Workspace</x:v>
      </x:c>
      <x:c r="D17" s="10" t="str">
        <x:v>Kaiterra</x:v>
      </x:c>
      <x:c r="E17" s="10" t="str">
        <x:v>KAI-AQ-DESK</x:v>
      </x:c>
      <x:c r="F17" s="12" t="n">
        <x:v>159</x:v>
      </x:c>
      <x:c r="G17" s="14" t="n">
        <x:v>31</x:v>
      </x:c>
      <x:c r="H17" s="10" t="str">
        <x:v>Active</x:v>
      </x:c>
      <x:c r="I17" s="10" t="str">
        <x:v>No</x:v>
      </x:c>
      <x:c r="J17" s="10" t="str">
        <x:v>https://images.unsplash.com/photo-1581092921461-eab62e97a780?auto=format&amp;fit=crop&amp;w=900&amp;q=80</x:v>
      </x:c>
      <x:c r="K17" s="10" t="str">
        <x:v>Compact indoor air quality monitor with CO2, temperature, and humidity tracking.</x:v>
      </x:c>
      <x:c r="L17" s="10" t="str">
        <x:v>sensor,air quality,workspace</x:v>
      </x:c>
      <x:c r="M17" s="16" t="str">
        <x:v>2026-05-16</x:v>
      </x:c>
      <x:c r="N17" s="16" t="str">
        <x:v>2026-05-09</x:v>
      </x:c>
    </x:row>
    <x:row r="18">
      <x:c r="A18" s="10" t="str">
        <x:v>PRD-0017</x:v>
      </x:c>
      <x:c r="B18" s="10" t="str">
        <x:v>Magnetic Whiteboard Pro</x:v>
      </x:c>
      <x:c r="C18" s="10" t="str">
        <x:v>Stationery</x:v>
      </x:c>
      <x:c r="D18" s="10" t="str">
        <x:v>Quartet</x:v>
      </x:c>
      <x:c r="E18" s="10" t="str">
        <x:v>QRT-MAG-PRO</x:v>
      </x:c>
      <x:c r="F18" s="12" t="n">
        <x:v>249</x:v>
      </x:c>
      <x:c r="G18" s="14" t="n">
        <x:v>17</x:v>
      </x:c>
      <x:c r="H18" s="10" t="str">
        <x:v>Active</x:v>
      </x:c>
      <x:c r="I18" s="10" t="str">
        <x:v>No</x:v>
      </x:c>
      <x:c r="J18" s="10" t="str">
        <x:v>https://images.unsplash.com/photo-1586281380349-632531db7ed4?auto=format&amp;fit=crop&amp;w=900&amp;q=80</x:v>
      </x:c>
      <x:c r="K18" s="10" t="str">
        <x:v>Large magnetic glass board for planning, workshops, and agile ceremonies.</x:v>
      </x:c>
      <x:c r="L18" s="10" t="str">
        <x:v>whiteboard,planning,stationery</x:v>
      </x:c>
      <x:c r="M18" s="16" t="str">
        <x:v>2026-05-17</x:v>
      </x:c>
      <x:c r="N18" s="16" t="str">
        <x:v>2026-05-08</x:v>
      </x:c>
    </x:row>
    <x:row r="19">
      <x:c r="A19" s="10" t="str">
        <x:v>PRD-0018</x:v>
      </x:c>
      <x:c r="B19" s="10" t="str">
        <x:v>Secure Shredder 20-Sheet</x:v>
      </x:c>
      <x:c r="C19" s="10" t="str">
        <x:v>Workspace</x:v>
      </x:c>
      <x:c r="D19" s="10" t="str">
        <x:v>Fellowes</x:v>
      </x:c>
      <x:c r="E19" s="10" t="str">
        <x:v>FEL-SHRED-20</x:v>
      </x:c>
      <x:c r="F19" s="12" t="n">
        <x:v>299</x:v>
      </x:c>
      <x:c r="G19" s="14" t="n">
        <x:v>9</x:v>
      </x:c>
      <x:c r="H19" s="10" t="str">
        <x:v>Active</x:v>
      </x:c>
      <x:c r="I19" s="10" t="str">
        <x:v>No</x:v>
      </x:c>
      <x:c r="J19" s="10" t="str">
        <x:v>https://images.unsplash.com/photo-1586282391129-76a6df230234?auto=format&amp;fit=crop&amp;w=900&amp;q=80</x:v>
      </x:c>
      <x:c r="K19" s="10" t="str">
        <x:v>Cross-cut shredder for departments handling confidential documents.</x:v>
      </x:c>
      <x:c r="L19" s="10" t="str">
        <x:v>shredder,security,workspace</x:v>
      </x:c>
      <x:c r="M19" s="16" t="str">
        <x:v>2026-05-18</x:v>
      </x:c>
      <x:c r="N19" s="16" t="str">
        <x:v>2026-05-07</x:v>
      </x:c>
    </x:row>
    <x:row r="20">
      <x:c r="A20" s="10" t="str">
        <x:v>PRD-0019</x:v>
      </x:c>
      <x:c r="B20" s="10" t="str">
        <x:v>Executive Laptop Backpack</x:v>
      </x:c>
      <x:c r="C20" s="10" t="str">
        <x:v>Accessories</x:v>
      </x:c>
      <x:c r="D20" s="10" t="str">
        <x:v>Targus</x:v>
      </x:c>
      <x:c r="E20" s="10" t="str">
        <x:v>TAR-BAG-EXE</x:v>
      </x:c>
      <x:c r="F20" s="12" t="n">
        <x:v>119</x:v>
      </x:c>
      <x:c r="G20" s="14" t="n">
        <x:v>67</x:v>
      </x:c>
      <x:c r="H20" s="10" t="str">
        <x:v>Active</x:v>
      </x:c>
      <x:c r="I20" s="10" t="str">
        <x:v>Yes</x:v>
      </x:c>
      <x:c r="J20" s="10" t="str">
        <x:v>https://images.unsplash.com/photo-1553062407-98eeb64c6a62?auto=format&amp;fit=crop&amp;w=900&amp;q=80</x:v>
      </x:c>
      <x:c r="K20" s="10" t="str">
        <x:v>Professional waterproof backpack with laptop protection and organizer pockets.</x:v>
      </x:c>
      <x:c r="L20" s="10" t="str">
        <x:v>bag,backpack,laptop,travel</x:v>
      </x:c>
      <x:c r="M20" s="16" t="str">
        <x:v>2026-05-19</x:v>
      </x:c>
      <x:c r="N20" s="16" t="str">
        <x:v>2026-05-06</x:v>
      </x:c>
    </x:row>
    <x:row r="21">
      <x:c r="A21" s="10" t="str">
        <x:v>PRD-0020</x:v>
      </x:c>
      <x:c r="B21" s="10" t="str">
        <x:v>Premium Paper Ream Box</x:v>
      </x:c>
      <x:c r="C21" s="10" t="str">
        <x:v>Stationery</x:v>
      </x:c>
      <x:c r="D21" s="10" t="str">
        <x:v>Hammermill</x:v>
      </x:c>
      <x:c r="E21" s="10" t="str">
        <x:v>HAM-PAPER-10</x:v>
      </x:c>
      <x:c r="F21" s="12" t="n">
        <x:v>52</x:v>
      </x:c>
      <x:c r="G21" s="14" t="n">
        <x:v>150</x:v>
      </x:c>
      <x:c r="H21" s="10" t="str">
        <x:v>Active</x:v>
      </x:c>
      <x:c r="I21" s="10" t="str">
        <x:v>No</x:v>
      </x:c>
      <x:c r="J21" s="10" t="str">
        <x:v>https://images.unsplash.com/photo-1517697471339-4aa32003c11a?auto=format&amp;fit=crop&amp;w=900&amp;q=80</x:v>
      </x:c>
      <x:c r="K21" s="10" t="str">
        <x:v>Bright white multipurpose paper for office printing and documentation.</x:v>
      </x:c>
      <x:c r="L21" s="10" t="str">
        <x:v>paper,stationery,printing</x:v>
      </x:c>
      <x:c r="M21" s="16" t="str">
        <x:v>2026-05-20</x:v>
      </x:c>
      <x:c r="N21" s="16" t="str">
        <x:v>2026-05-05</x:v>
      </x:c>
    </x:row>
    <x:row r="22">
      <x:c r="A22" s="10" t="str">
        <x:v>PRD-0021</x:v>
      </x:c>
      <x:c r="B22" s="10" t="str">
        <x:v>Hybrid Work Desk Lamp</x:v>
      </x:c>
      <x:c r="C22" s="10" t="str">
        <x:v>Workspace</x:v>
      </x:c>
      <x:c r="D22" s="10" t="str">
        <x:v>BenQ</x:v>
      </x:c>
      <x:c r="E22" s="10" t="str">
        <x:v>BEN-LAMP-HYB</x:v>
      </x:c>
      <x:c r="F22" s="12" t="n">
        <x:v>189</x:v>
      </x:c>
      <x:c r="G22" s="14" t="n">
        <x:v>40</x:v>
      </x:c>
      <x:c r="H22" s="10" t="str">
        <x:v>Active</x:v>
      </x:c>
      <x:c r="I22" s="10" t="str">
        <x:v>No</x:v>
      </x:c>
      <x:c r="J22" s="10" t="str">
        <x:v>https://images.unsplash.com/photo-1507473885765-e6ed057f782c?auto=format&amp;fit=crop&amp;w=900&amp;q=80</x:v>
      </x:c>
      <x:c r="K22" s="10" t="str">
        <x:v>Auto-dimming desk lamp optimized for video calls and late work sessions.</x:v>
      </x:c>
      <x:c r="L22" s="10" t="str">
        <x:v>lamp,desk,lighting,workspace</x:v>
      </x:c>
      <x:c r="M22" s="16" t="str">
        <x:v>2026-05-21</x:v>
      </x:c>
      <x:c r="N22" s="16" t="str">
        <x:v>2026-05-04</x:v>
      </x:c>
    </x:row>
    <x:row r="23">
      <x:c r="A23" s="10" t="str">
        <x:v>PRD-0022</x:v>
      </x:c>
      <x:c r="B23" s="10" t="str">
        <x:v>Compact Label Printer</x:v>
      </x:c>
      <x:c r="C23" s="10" t="str">
        <x:v>Electronics</x:v>
      </x:c>
      <x:c r="D23" s="10" t="str">
        <x:v>Brother</x:v>
      </x:c>
      <x:c r="E23" s="10" t="str">
        <x:v>BRO-LABEL-CMP</x:v>
      </x:c>
      <x:c r="F23" s="12" t="n">
        <x:v>149</x:v>
      </x:c>
      <x:c r="G23" s="14" t="n">
        <x:v>30</x:v>
      </x:c>
      <x:c r="H23" s="10" t="str">
        <x:v>Active</x:v>
      </x:c>
      <x:c r="I23" s="10" t="str">
        <x:v>No</x:v>
      </x:c>
      <x:c r="J23" s="10" t="str">
        <x:v>https://images.unsplash.com/photo-1607083206968-13611e3d76db?auto=format&amp;fit=crop&amp;w=900&amp;q=80</x:v>
      </x:c>
      <x:c r="K23" s="10" t="str">
        <x:v>Fast label printer for assets, inventory, shipping, and office organization.</x:v>
      </x:c>
      <x:c r="L23" s="10" t="str">
        <x:v>printer,label,inventory</x:v>
      </x:c>
      <x:c r="M23" s="16" t="str">
        <x:v>2026-05-22</x:v>
      </x:c>
      <x:c r="N23" s="16" t="str">
        <x:v>2026-05-03</x:v>
      </x:c>
    </x:row>
    <x:row r="24">
      <x:c r="A24" s="10" t="str">
        <x:v>PRD-0023</x:v>
      </x:c>
      <x:c r="B24" s="10" t="str">
        <x:v>Ergo Keyboard Low Profile</x:v>
      </x:c>
      <x:c r="C24" s="10" t="str">
        <x:v>Accessories</x:v>
      </x:c>
      <x:c r="D24" s="10" t="str">
        <x:v>Keychron</x:v>
      </x:c>
      <x:c r="E24" s="10" t="str">
        <x:v>KEY-ERGO-LP</x:v>
      </x:c>
      <x:c r="F24" s="12" t="n">
        <x:v>129</x:v>
      </x:c>
      <x:c r="G24" s="14" t="n">
        <x:v>51</x:v>
      </x:c>
      <x:c r="H24" s="10" t="str">
        <x:v>Active</x:v>
      </x:c>
      <x:c r="I24" s="10" t="str">
        <x:v>Yes</x:v>
      </x:c>
      <x:c r="J24" s="10" t="str">
        <x:v>https://images.unsplash.com/photo-1587829741301-dc798b83add3?auto=format&amp;fit=crop&amp;w=900&amp;q=80</x:v>
      </x:c>
      <x:c r="K24" s="10" t="str">
        <x:v>Low-profile mechanical keyboard designed for long-form productivity.</x:v>
      </x:c>
      <x:c r="L24" s="10" t="str">
        <x:v>keyboard,mechanical,ergonomic</x:v>
      </x:c>
      <x:c r="M24" s="16" t="str">
        <x:v>2026-05-23</x:v>
      </x:c>
      <x:c r="N24" s="16" t="str">
        <x:v>2026-05-02</x:v>
      </x:c>
    </x:row>
    <x:row r="25">
      <x:c r="A25" s="10" t="str">
        <x:v>PRD-0024</x:v>
      </x:c>
      <x:c r="B25" s="10" t="str">
        <x:v>Boardroom HDMI Matrix</x:v>
      </x:c>
      <x:c r="C25" s="10" t="str">
        <x:v>Networking</x:v>
      </x:c>
      <x:c r="D25" s="10" t="str">
        <x:v>Aten</x:v>
      </x:c>
      <x:c r="E25" s="10" t="str">
        <x:v>ATN-HDMI-MX</x:v>
      </x:c>
      <x:c r="F25" s="12" t="n">
        <x:v>429</x:v>
      </x:c>
      <x:c r="G25" s="14" t="n">
        <x:v>11</x:v>
      </x:c>
      <x:c r="H25" s="10" t="str">
        <x:v>Active</x:v>
      </x:c>
      <x:c r="I25" s="10" t="str">
        <x:v>No</x:v>
      </x:c>
      <x:c r="J25" s="10" t="str">
        <x:v>https://images.unsplash.com/photo-1558494949-ef010cbdcc31?auto=format&amp;fit=crop&amp;w=900&amp;q=80</x:v>
      </x:c>
      <x:c r="K25" s="10" t="str">
        <x:v>Reliable HDMI matrix switch for boardrooms, training rooms, and demo spaces.</x:v>
      </x:c>
      <x:c r="L25" s="10" t="str">
        <x:v>hdmi,boardroom,networking,av</x:v>
      </x:c>
      <x:c r="M25" s="16" t="str">
        <x:v>2026-05-24</x:v>
      </x:c>
      <x:c r="N25" s="16" t="str">
        <x:v>2026-05-01</x:v>
      </x:c>
    </x:row>
  </x:sheetData>
  <x:conditionalFormatting sqref="G2:G25">
    <x:cfRule type="cellIs" dxfId="0" priority="1" operator="lessThanOrEqual">
      <x:formula>10</x:formula>
    </x:cfRule>
  </x:conditionalFormatting>
  <x:dataValidations count="2">
    <x:dataValidation type="list" sqref="H2:H25">
      <x:formula1>"Active,Inactive"</x:formula1>
    </x:dataValidation>
    <x:dataValidation type="list" sqref="I2:I2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1fcf501b2b44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34" hidden="0" customWidth="1"/>
    <x:col min="15" max="15" width="18" hidden="0" customWidth="1"/>
    <x:col min="16" max="16" width="18" hidden="0" customWidth="1"/>
  </x:cols>
  <x:sheetData>
    <x:row r="1" ht="28" customHeight="1">
      <x:c r="A1" s="21" t="str">
        <x:v>Order ID</x:v>
      </x:c>
      <x:c r="B1" s="21" t="str">
        <x:v>Timestamp</x:v>
      </x:c>
      <x:c r="C1" s="21" t="str">
        <x:v>Product ID</x:v>
      </x:c>
      <x:c r="D1" s="21" t="str">
        <x:v>Product Name</x:v>
      </x:c>
      <x:c r="E1" s="21" t="str">
        <x:v>Category</x:v>
      </x:c>
      <x:c r="F1" s="21" t="str">
        <x:v>Unit Price</x:v>
      </x:c>
      <x:c r="G1" s="21" t="str">
        <x:v>Quantity</x:v>
      </x:c>
      <x:c r="H1" s="21" t="str">
        <x:v>Total Amount</x:v>
      </x:c>
      <x:c r="I1" s="21" t="str">
        <x:v>Customer Name</x:v>
      </x:c>
      <x:c r="J1" s="21" t="str">
        <x:v>Customer Email</x:v>
      </x:c>
      <x:c r="K1" s="21" t="str">
        <x:v>Customer Phone</x:v>
      </x:c>
      <x:c r="L1" s="21" t="str">
        <x:v>Company</x:v>
      </x:c>
      <x:c r="M1" s="21" t="str">
        <x:v>Address</x:v>
      </x:c>
      <x:c r="N1" s="21" t="str">
        <x:v>Notes</x:v>
      </x:c>
      <x:c r="O1" s="21" t="str">
        <x:v>Status</x:v>
      </x:c>
      <x:c r="P1" s="21" t="str">
        <x:v>Source</x:v>
      </x:c>
    </x:row>
  </x:sheetData>
  <x:pageMargins left="0.7" right="0.7" top="0.75" bottom="0.75" header="0.3" footer="0.3"/>
  <x:tableParts count="1">
    <x:tablePart xmlns:r="http://schemas.openxmlformats.org/officeDocument/2006/relationships" r:id="R6e863aa458964d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28" t="str">
        <x:v>Categories</x:v>
      </x:c>
      <x:c r="B1" s="28" t="str">
        <x:v>Status</x:v>
      </x:c>
      <x:c r="C1" s="28" t="str">
        <x:v>Featured</x:v>
      </x:c>
    </x:row>
    <x:row r="2">
      <x:c r="A2" t="str">
        <x:v>Accessories</x:v>
      </x:c>
      <x:c r="B2" t="str">
        <x:v>Active</x:v>
      </x:c>
      <x:c r="C2" t="str">
        <x:v>Yes</x:v>
      </x:c>
    </x:row>
    <x:row r="3">
      <x:c r="A3" t="str">
        <x:v>Electronics</x:v>
      </x:c>
      <x:c r="B3" t="str">
        <x:v>Inactive</x:v>
      </x:c>
      <x:c r="C3" t="str">
        <x:v>No</x:v>
      </x:c>
    </x:row>
    <x:row r="4">
      <x:c r="A4" t="str">
        <x:v>Furniture</x:v>
      </x:c>
      <x:c r="B4"/>
      <x:c r="C4"/>
    </x:row>
    <x:row r="5">
      <x:c r="A5" t="str">
        <x:v>Networking</x:v>
      </x:c>
      <x:c r="B5"/>
      <x:c r="C5"/>
    </x:row>
    <x:row r="6">
      <x:c r="A6" t="str">
        <x:v>Stationery</x:v>
      </x:c>
      <x:c r="B6"/>
      <x:c r="C6"/>
    </x:row>
    <x:row r="7">
      <x:c r="A7" t="str">
        <x:v>Workspace</x:v>
      </x:c>
      <x:c r="B7"/>
      <x:c r="C7"/>
    </x:row>
  </x:sheetData>
  <x:pageMargins left="0.7" right="0.7" top="0.75" bottom="0.75" header="0.3" footer="0.3"/>
</x:worksheet>
</file>